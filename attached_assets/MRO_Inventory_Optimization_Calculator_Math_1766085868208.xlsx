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ettiebarrett/Desktop/"/>
    </mc:Choice>
  </mc:AlternateContent>
  <xr:revisionPtr revIDLastSave="0" documentId="8_{4907EBE5-2C98-C44B-A915-293FFE6123A8}" xr6:coauthVersionLast="47" xr6:coauthVersionMax="47" xr10:uidLastSave="{00000000-0000-0000-0000-000000000000}"/>
  <bookViews>
    <workbookView xWindow="-20" yWindow="700" windowWidth="30240" windowHeight="18960" xr2:uid="{00000000-000D-0000-FFFF-FFFF00000000}"/>
  </bookViews>
  <sheets>
    <sheet name="Inv. Value Calc - 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5" i="1"/>
  <c r="C14" i="1"/>
  <c r="C25" i="1" s="1"/>
  <c r="C21" i="1" l="1"/>
  <c r="C22" i="1"/>
  <c r="C23" i="1"/>
  <c r="C24" i="1"/>
  <c r="C26" i="1" l="1"/>
</calcChain>
</file>

<file path=xl/sharedStrings.xml><?xml version="1.0" encoding="utf-8"?>
<sst xmlns="http://schemas.openxmlformats.org/spreadsheetml/2006/main" count="101" uniqueCount="65">
  <si>
    <t>USER INPUTS</t>
  </si>
  <si>
    <t>Field Inputs</t>
  </si>
  <si>
    <t>User Inputs</t>
  </si>
  <si>
    <t>Field Type</t>
  </si>
  <si>
    <t>Benchmarks</t>
  </si>
  <si>
    <t>Required or Optional</t>
  </si>
  <si>
    <t>Notes</t>
  </si>
  <si>
    <t>A</t>
  </si>
  <si>
    <t>Number of Plants/Sites</t>
  </si>
  <si>
    <t>Number</t>
  </si>
  <si>
    <t>Required</t>
  </si>
  <si>
    <t>B</t>
  </si>
  <si>
    <t>On Hand Inventory Value</t>
  </si>
  <si>
    <t>Currency (USD)</t>
  </si>
  <si>
    <t>C</t>
  </si>
  <si>
    <t>Number of SKUs On-Hand</t>
  </si>
  <si>
    <t>validated, B/C should be in range of 500 to 2000</t>
  </si>
  <si>
    <t>D</t>
  </si>
  <si>
    <t>Active &amp; Slow</t>
  </si>
  <si>
    <t>Percent</t>
  </si>
  <si>
    <t>Optional w/ Benchmark Default</t>
  </si>
  <si>
    <t>validated D E F need to total 100%</t>
  </si>
  <si>
    <t>E</t>
  </si>
  <si>
    <t>Non-Moving or Potentially Obsolete</t>
  </si>
  <si>
    <t>F</t>
  </si>
  <si>
    <t>Special Items (Consignment, Bulk Materials, Fuel, Tires, Drill String)</t>
  </si>
  <si>
    <t>BACKEND CALCULATIONS</t>
  </si>
  <si>
    <t>Field</t>
  </si>
  <si>
    <t>Value</t>
  </si>
  <si>
    <t xml:space="preserve">Calculation </t>
  </si>
  <si>
    <t>Calculations Explained</t>
  </si>
  <si>
    <t>I</t>
  </si>
  <si>
    <t xml:space="preserve">Active &amp; Slow </t>
  </si>
  <si>
    <t>B * D</t>
  </si>
  <si>
    <t>Percent of on hand value that is active/slow</t>
  </si>
  <si>
    <t>J</t>
  </si>
  <si>
    <t>B * E</t>
  </si>
  <si>
    <t>Percent of on hand value that is non-moving</t>
  </si>
  <si>
    <t>K</t>
  </si>
  <si>
    <t>B * F</t>
  </si>
  <si>
    <t>Percent of on hand value that is special (not to be optimized)</t>
  </si>
  <si>
    <t>USER OUTPUT</t>
  </si>
  <si>
    <t>Field Outputs</t>
  </si>
  <si>
    <t>Example Outputs</t>
  </si>
  <si>
    <t>Active material value increases</t>
  </si>
  <si>
    <t>I*0.06*-1</t>
  </si>
  <si>
    <t>Active &amp; slow onhand value * 6% * -1</t>
  </si>
  <si>
    <t>Active material value decreases</t>
  </si>
  <si>
    <t>I*0.022</t>
  </si>
  <si>
    <t>Active &amp; slow onhand value * 22%</t>
  </si>
  <si>
    <t>Network optimization &amp; Transfer opportunity</t>
  </si>
  <si>
    <t>(I+J)*sliding factor based on A</t>
  </si>
  <si>
    <t>(Active &amp; slow onhand value + Non-moving onhand value) * sliding factor based on Number of sites</t>
  </si>
  <si>
    <t>VMI disposition</t>
  </si>
  <si>
    <t>I*sliding factor based on C</t>
  </si>
  <si>
    <t>Active &amp; slow onhand value * sliding factor based on Number of SKUs</t>
  </si>
  <si>
    <t>Deduplication savings</t>
  </si>
  <si>
    <t>(I+J)*sliding factor based on C</t>
  </si>
  <si>
    <t>(Active &amp; slow onhand value + Non-moving onhand value) * sliding factor based on Number of SKUs</t>
  </si>
  <si>
    <t>Total Inventory Value Reduction</t>
  </si>
  <si>
    <t>required for spend calculator</t>
  </si>
  <si>
    <t xml:space="preserve">name of calculator: value calculator or other </t>
  </si>
  <si>
    <t>target personas: supply chain, innovation, procurement, maintenance, operations</t>
  </si>
  <si>
    <t xml:space="preserve">inputs: </t>
  </si>
  <si>
    <t>outputs: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</si>
</sst>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Arial"/>
      <scheme val="minor"/>
    </font>
    <font>
      <sz val="10"/>
      <color rgb="FFFF0000"/>
      <name val="Arial"/>
    </font>
    <font>
      <b/>
      <i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right"/>
    </xf>
    <xf numFmtId="0" fontId="4" fillId="2" borderId="0" xfId="0" applyFont="1" applyFill="1"/>
    <xf numFmtId="0" fontId="5" fillId="2" borderId="0" xfId="0" applyFont="1" applyFill="1"/>
    <xf numFmtId="0" fontId="2" fillId="0" borderId="0" xfId="0" applyFont="1" applyAlignment="1">
      <alignment horizontal="right"/>
    </xf>
    <xf numFmtId="3" fontId="6" fillId="0" borderId="0" xfId="0" applyNumberFormat="1" applyFont="1"/>
    <xf numFmtId="164" fontId="6" fillId="0" borderId="0" xfId="0" applyNumberFormat="1" applyFont="1"/>
    <xf numFmtId="0" fontId="6" fillId="0" borderId="0" xfId="0" applyFont="1"/>
    <xf numFmtId="0" fontId="7" fillId="0" borderId="0" xfId="0" applyFont="1"/>
    <xf numFmtId="9" fontId="2" fillId="0" borderId="0" xfId="0" applyNumberFormat="1" applyFont="1"/>
    <xf numFmtId="0" fontId="2" fillId="3" borderId="0" xfId="0" applyFont="1" applyFill="1" applyAlignment="1">
      <alignment horizontal="right"/>
    </xf>
    <xf numFmtId="0" fontId="5" fillId="3" borderId="0" xfId="0" applyFont="1" applyFill="1"/>
    <xf numFmtId="0" fontId="4" fillId="3" borderId="0" xfId="0" applyFont="1" applyFill="1"/>
    <xf numFmtId="164" fontId="2" fillId="0" borderId="0" xfId="0" applyNumberFormat="1" applyFont="1"/>
    <xf numFmtId="0" fontId="8" fillId="0" borderId="0" xfId="0" applyFont="1"/>
    <xf numFmtId="165" fontId="2" fillId="0" borderId="0" xfId="0" applyNumberFormat="1" applyFont="1"/>
    <xf numFmtId="0" fontId="4" fillId="4" borderId="0" xfId="0" applyFont="1" applyFill="1" applyAlignment="1">
      <alignment horizontal="right"/>
    </xf>
    <xf numFmtId="0" fontId="4" fillId="4" borderId="0" xfId="0" applyFont="1" applyFill="1"/>
    <xf numFmtId="0" fontId="5" fillId="4" borderId="0" xfId="0" applyFont="1" applyFill="1"/>
    <xf numFmtId="164" fontId="9" fillId="0" borderId="0" xfId="0" applyNumberFormat="1" applyFont="1"/>
    <xf numFmtId="164" fontId="1" fillId="0" borderId="0" xfId="0" applyNumberFormat="1" applyFont="1"/>
    <xf numFmtId="0" fontId="10" fillId="0" borderId="0" xfId="0" applyFont="1"/>
    <xf numFmtId="0" fontId="3" fillId="2" borderId="0" xfId="0" applyFont="1" applyFill="1" applyAlignment="1">
      <alignment horizontal="center"/>
    </xf>
    <xf numFmtId="0" fontId="0" fillId="0" borderId="0" xfId="0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tabSelected="1" workbookViewId="0"/>
  </sheetViews>
  <sheetFormatPr baseColWidth="10" defaultColWidth="12.6640625" defaultRowHeight="15.75" customHeight="1" x14ac:dyDescent="0.15"/>
  <cols>
    <col min="1" max="1" width="5.5" customWidth="1"/>
    <col min="2" max="2" width="33.1640625" customWidth="1"/>
    <col min="3" max="3" width="17.5" customWidth="1"/>
    <col min="4" max="4" width="17.83203125" customWidth="1"/>
    <col min="5" max="5" width="24" customWidth="1"/>
    <col min="6" max="6" width="57.1640625" customWidth="1"/>
  </cols>
  <sheetData>
    <row r="1" spans="1:26" ht="15.75" customHeight="1" x14ac:dyDescent="0.15">
      <c r="A1" s="1"/>
      <c r="B1" s="2"/>
      <c r="C1" s="3"/>
      <c r="D1" s="3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25" t="s">
        <v>0</v>
      </c>
      <c r="B2" s="26"/>
      <c r="C2" s="26"/>
      <c r="D2" s="26"/>
      <c r="E2" s="26"/>
      <c r="F2" s="26"/>
      <c r="G2" s="2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15">
      <c r="A3" s="4"/>
      <c r="B3" s="5" t="s">
        <v>1</v>
      </c>
      <c r="C3" s="6" t="s">
        <v>2</v>
      </c>
      <c r="D3" s="5" t="s">
        <v>3</v>
      </c>
      <c r="E3" s="6" t="s">
        <v>4</v>
      </c>
      <c r="F3" s="6" t="s">
        <v>5</v>
      </c>
      <c r="G3" s="6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15">
      <c r="A4" s="7" t="s">
        <v>7</v>
      </c>
      <c r="B4" s="3" t="s">
        <v>8</v>
      </c>
      <c r="C4" s="8">
        <v>3</v>
      </c>
      <c r="D4" s="3" t="s">
        <v>9</v>
      </c>
      <c r="E4" s="9"/>
      <c r="F4" s="10" t="s">
        <v>10</v>
      </c>
      <c r="H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15">
      <c r="A5" s="7" t="s">
        <v>11</v>
      </c>
      <c r="B5" s="3" t="s">
        <v>12</v>
      </c>
      <c r="C5" s="9">
        <v>20000000</v>
      </c>
      <c r="D5" s="3" t="s">
        <v>13</v>
      </c>
      <c r="E5" s="8"/>
      <c r="F5" s="10" t="s">
        <v>10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15">
      <c r="A6" s="7" t="s">
        <v>14</v>
      </c>
      <c r="B6" s="3" t="s">
        <v>15</v>
      </c>
      <c r="C6" s="8">
        <v>50000</v>
      </c>
      <c r="D6" s="3" t="s">
        <v>9</v>
      </c>
      <c r="E6" s="8"/>
      <c r="F6" s="10" t="s">
        <v>10</v>
      </c>
      <c r="G6" s="10" t="s">
        <v>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15">
      <c r="A7" s="7" t="s">
        <v>17</v>
      </c>
      <c r="B7" s="11" t="s">
        <v>18</v>
      </c>
      <c r="C7" s="12">
        <v>0.67</v>
      </c>
      <c r="D7" s="3" t="s">
        <v>19</v>
      </c>
      <c r="E7" s="12">
        <v>0.67</v>
      </c>
      <c r="F7" s="10" t="s">
        <v>20</v>
      </c>
      <c r="G7" s="3" t="s">
        <v>21</v>
      </c>
      <c r="H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15">
      <c r="A8" s="7" t="s">
        <v>22</v>
      </c>
      <c r="B8" s="11" t="s">
        <v>23</v>
      </c>
      <c r="C8" s="12">
        <v>0.23</v>
      </c>
      <c r="D8" s="3" t="s">
        <v>19</v>
      </c>
      <c r="E8" s="12">
        <v>0.23</v>
      </c>
      <c r="F8" s="10" t="s">
        <v>20</v>
      </c>
      <c r="G8" s="3" t="s">
        <v>21</v>
      </c>
      <c r="H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15">
      <c r="A9" s="7" t="s">
        <v>24</v>
      </c>
      <c r="B9" s="11" t="s">
        <v>25</v>
      </c>
      <c r="C9" s="12">
        <v>0.1</v>
      </c>
      <c r="D9" s="3" t="s">
        <v>19</v>
      </c>
      <c r="E9" s="12">
        <v>0.1</v>
      </c>
      <c r="F9" s="10" t="s">
        <v>20</v>
      </c>
      <c r="G9" s="3" t="s">
        <v>21</v>
      </c>
      <c r="H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15">
      <c r="A10" s="7"/>
      <c r="B10" s="3"/>
      <c r="C10" s="3"/>
      <c r="D10" s="3"/>
      <c r="G10" s="3"/>
      <c r="H10" s="3"/>
      <c r="I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15">
      <c r="A11" s="7"/>
      <c r="B11" s="3"/>
      <c r="C11" s="3"/>
      <c r="D11" s="3"/>
      <c r="G11" s="3"/>
      <c r="H11" s="3"/>
      <c r="I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27" t="s">
        <v>26</v>
      </c>
      <c r="B12" s="26"/>
      <c r="C12" s="26"/>
      <c r="D12" s="26"/>
      <c r="E12" s="26"/>
      <c r="F12" s="26"/>
      <c r="G12" s="26"/>
      <c r="H12" s="3"/>
      <c r="I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15">
      <c r="A13" s="13"/>
      <c r="B13" s="14" t="s">
        <v>27</v>
      </c>
      <c r="C13" s="14" t="s">
        <v>28</v>
      </c>
      <c r="D13" s="15" t="s">
        <v>3</v>
      </c>
      <c r="E13" s="14" t="s">
        <v>29</v>
      </c>
      <c r="F13" s="15" t="s">
        <v>30</v>
      </c>
      <c r="G13" s="15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15">
      <c r="A14" s="7" t="s">
        <v>31</v>
      </c>
      <c r="B14" s="11" t="s">
        <v>32</v>
      </c>
      <c r="C14" s="16">
        <f t="shared" ref="C14:C16" si="0">C$5*C7</f>
        <v>13400000</v>
      </c>
      <c r="D14" s="3" t="s">
        <v>13</v>
      </c>
      <c r="E14" s="17" t="s">
        <v>33</v>
      </c>
      <c r="F14" s="11" t="s">
        <v>34</v>
      </c>
      <c r="G14" s="3"/>
      <c r="H14" s="3"/>
      <c r="I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15">
      <c r="A15" s="7" t="s">
        <v>35</v>
      </c>
      <c r="B15" s="11" t="s">
        <v>23</v>
      </c>
      <c r="C15" s="16">
        <f t="shared" si="0"/>
        <v>4600000</v>
      </c>
      <c r="D15" s="3" t="s">
        <v>13</v>
      </c>
      <c r="E15" s="17" t="s">
        <v>36</v>
      </c>
      <c r="F15" s="11" t="s">
        <v>37</v>
      </c>
      <c r="G15" s="3"/>
      <c r="H15" s="3"/>
      <c r="I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15">
      <c r="A16" s="7" t="s">
        <v>38</v>
      </c>
      <c r="B16" s="11" t="s">
        <v>25</v>
      </c>
      <c r="C16" s="16">
        <f t="shared" si="0"/>
        <v>2000000</v>
      </c>
      <c r="D16" s="3" t="s">
        <v>13</v>
      </c>
      <c r="E16" s="17" t="s">
        <v>39</v>
      </c>
      <c r="F16" s="11" t="s">
        <v>40</v>
      </c>
      <c r="G16" s="3"/>
      <c r="H16" s="3"/>
      <c r="I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15">
      <c r="A17" s="7"/>
      <c r="B17" s="3"/>
      <c r="C17" s="18"/>
      <c r="D17" s="3"/>
      <c r="G17" s="3"/>
      <c r="H17" s="3"/>
      <c r="I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15">
      <c r="A18" s="7"/>
      <c r="B18" s="3"/>
      <c r="C18" s="3"/>
      <c r="D18" s="3"/>
      <c r="E18" s="3"/>
      <c r="F18" s="3"/>
      <c r="G18" s="3"/>
      <c r="H18" s="3"/>
      <c r="I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28" t="s">
        <v>41</v>
      </c>
      <c r="B19" s="26"/>
      <c r="C19" s="26"/>
      <c r="D19" s="26"/>
      <c r="E19" s="26"/>
      <c r="F19" s="26"/>
      <c r="G19" s="26"/>
      <c r="H19" s="3"/>
      <c r="I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15">
      <c r="A20" s="19"/>
      <c r="B20" s="20" t="s">
        <v>42</v>
      </c>
      <c r="C20" s="21" t="s">
        <v>43</v>
      </c>
      <c r="D20" s="20" t="s">
        <v>3</v>
      </c>
      <c r="E20" s="21" t="s">
        <v>29</v>
      </c>
      <c r="F20" s="20" t="s">
        <v>30</v>
      </c>
      <c r="G20" s="21" t="s">
        <v>6</v>
      </c>
      <c r="H20" s="3"/>
      <c r="I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15">
      <c r="A21" s="3"/>
      <c r="B21" s="3" t="s">
        <v>44</v>
      </c>
      <c r="C21" s="22">
        <f>C14*0.06*-1</f>
        <v>-804000</v>
      </c>
      <c r="D21" s="3" t="s">
        <v>13</v>
      </c>
      <c r="E21" s="3" t="s">
        <v>45</v>
      </c>
      <c r="F21" s="3" t="s">
        <v>46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15">
      <c r="A22" s="3"/>
      <c r="B22" s="3" t="s">
        <v>47</v>
      </c>
      <c r="C22" s="16">
        <f>C14*0.22</f>
        <v>2948000</v>
      </c>
      <c r="D22" s="3" t="s">
        <v>13</v>
      </c>
      <c r="E22" s="3" t="s">
        <v>48</v>
      </c>
      <c r="F22" s="3" t="s">
        <v>49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15">
      <c r="A23" s="3"/>
      <c r="B23" s="3" t="s">
        <v>50</v>
      </c>
      <c r="C23" s="16">
        <f>IF(C4=1, 0, IF(AND(C4&gt;=2, C4&lt;=5), 0.04, IF(C4&gt;5, 0.06, "")))*(C14+C15)</f>
        <v>720000</v>
      </c>
      <c r="D23" s="3" t="s">
        <v>13</v>
      </c>
      <c r="E23" s="3" t="s">
        <v>51</v>
      </c>
      <c r="F23" s="3" t="s">
        <v>52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15">
      <c r="A24" s="3"/>
      <c r="B24" s="3" t="s">
        <v>53</v>
      </c>
      <c r="C24" s="16">
        <f>IF(C6&lt;50000, 0.05, IF(AND(C6&gt;=50000, C6&lt;=100000), 0.07, IF(C6&gt;100000, 0.09, "")))*C14</f>
        <v>938000.00000000012</v>
      </c>
      <c r="D24" s="3" t="s">
        <v>13</v>
      </c>
      <c r="E24" s="3" t="s">
        <v>54</v>
      </c>
      <c r="F24" s="3" t="s">
        <v>55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15">
      <c r="A25" s="3"/>
      <c r="B25" s="3" t="s">
        <v>56</v>
      </c>
      <c r="C25" s="16">
        <f>IF(C6&lt;50000, 0.01, IF(AND(C6&gt;=50000, C6&lt;=100000), 0.025, IF(C6&gt;100000, 0.04, "")))*(C14+C15)</f>
        <v>450000</v>
      </c>
      <c r="D25" s="3" t="s">
        <v>13</v>
      </c>
      <c r="E25" s="3" t="s">
        <v>57</v>
      </c>
      <c r="F25" s="3" t="s">
        <v>58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15">
      <c r="A26" s="3"/>
      <c r="B26" s="2" t="s">
        <v>59</v>
      </c>
      <c r="C26" s="23">
        <f>SUM(C21:C25)</f>
        <v>4252000</v>
      </c>
      <c r="D26" s="3"/>
      <c r="E26" s="3"/>
      <c r="F26" s="3"/>
      <c r="G26" s="24" t="s">
        <v>60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15">
      <c r="A31" s="3"/>
      <c r="B31" s="3" t="s">
        <v>61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15">
      <c r="A32" s="3"/>
      <c r="B32" s="3" t="s">
        <v>62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15">
      <c r="A33" s="3"/>
      <c r="B33" s="3" t="s">
        <v>63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15">
      <c r="A34" s="3"/>
      <c r="B34" s="3" t="s">
        <v>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15">
      <c r="A35" s="3"/>
      <c r="B35" s="3" t="s">
        <v>12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15">
      <c r="A36" s="3"/>
      <c r="B36" s="3" t="s">
        <v>15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15">
      <c r="A37" s="3"/>
      <c r="B37" s="3" t="s">
        <v>18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15">
      <c r="A38" s="3"/>
      <c r="B38" s="3" t="s">
        <v>23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15">
      <c r="A39" s="3"/>
      <c r="B39" s="3" t="s">
        <v>25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15">
      <c r="A41" s="3"/>
      <c r="B41" s="3" t="s">
        <v>64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15">
      <c r="A42" s="3"/>
      <c r="B42" s="3" t="s">
        <v>44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15">
      <c r="A43" s="3"/>
      <c r="B43" s="3" t="s">
        <v>47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15">
      <c r="A44" s="3"/>
      <c r="B44" s="3" t="s">
        <v>50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15">
      <c r="A45" s="3"/>
      <c r="B45" s="3" t="s">
        <v>53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15">
      <c r="A46" s="3"/>
      <c r="B46" s="3" t="s">
        <v>56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15">
      <c r="A47" s="3"/>
      <c r="B47" s="3" t="s">
        <v>59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" x14ac:dyDescent="0.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" x14ac:dyDescent="0.1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3" x14ac:dyDescent="0.1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3" x14ac:dyDescent="0.1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3" x14ac:dyDescent="0.1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mergeCells count="3">
    <mergeCell ref="A2:G2"/>
    <mergeCell ref="A12:G12"/>
    <mergeCell ref="A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Inv. Value Calc -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Lettie Barrett</cp:lastModifiedBy>
  <dcterms:created xsi:type="dcterms:W3CDTF">2025-12-18T19:21:49Z</dcterms:created>
  <dcterms:modified xsi:type="dcterms:W3CDTF">2025-12-18T19:21:49Z</dcterms:modified>
</cp:coreProperties>
</file>